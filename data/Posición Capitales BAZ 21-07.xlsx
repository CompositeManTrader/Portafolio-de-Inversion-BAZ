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1059258\OneDrive - Onuris Tenant\Documentos\Clientes\BAZ\"/>
    </mc:Choice>
  </mc:AlternateContent>
  <xr:revisionPtr revIDLastSave="0" documentId="8_{6B351B36-C745-4A28-8303-32601EF45A9B}" xr6:coauthVersionLast="47" xr6:coauthVersionMax="47" xr10:uidLastSave="{00000000-0000-0000-0000-000000000000}"/>
  <bookViews>
    <workbookView xWindow="-120" yWindow="-120" windowWidth="21840" windowHeight="13020" activeTab="1" xr2:uid="{13FFAFBB-ABA2-49E1-87B8-4A7915CB3617}"/>
  </bookViews>
  <sheets>
    <sheet name="Hoja1" sheetId="1" r:id="rId1"/>
    <sheet name="Posicion" sheetId="2" r:id="rId2"/>
    <sheet name="Coste" sheetId="3" r:id="rId3"/>
  </sheets>
  <definedNames>
    <definedName name="_xlnm._FilterDatabase" localSheetId="0" hidden="1">Hoja1!$B$2:$E$32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" i="2" l="1"/>
  <c r="E49" i="2"/>
  <c r="C49" i="2"/>
  <c r="E47" i="2"/>
  <c r="E45" i="2"/>
  <c r="G43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</calcChain>
</file>

<file path=xl/sharedStrings.xml><?xml version="1.0" encoding="utf-8"?>
<sst xmlns="http://schemas.openxmlformats.org/spreadsheetml/2006/main" count="124" uniqueCount="70">
  <si>
    <t>Emisora</t>
  </si>
  <si>
    <t>Monto Compra</t>
  </si>
  <si>
    <t>Monto Mercado</t>
  </si>
  <si>
    <t>1B NAFTRAC ISHRS</t>
  </si>
  <si>
    <t>1I QQQ *</t>
  </si>
  <si>
    <t>1I IVV *</t>
  </si>
  <si>
    <t>1I SHV *</t>
  </si>
  <si>
    <t>1 WALMEX *</t>
  </si>
  <si>
    <t>1 GMEXICO B</t>
  </si>
  <si>
    <t>1 ASUR B</t>
  </si>
  <si>
    <t>1I EEM *</t>
  </si>
  <si>
    <t>1 GFNORTE O</t>
  </si>
  <si>
    <t>1 TRAXION A</t>
  </si>
  <si>
    <t>1A MELI N</t>
  </si>
  <si>
    <t>1 ALSEA *</t>
  </si>
  <si>
    <t>1I ACWI *</t>
  </si>
  <si>
    <t>1 GENTERA *</t>
  </si>
  <si>
    <t>1I EWJ *</t>
  </si>
  <si>
    <t>1 LACOMER UBC</t>
  </si>
  <si>
    <t>1A MSFT *</t>
  </si>
  <si>
    <t>1 AC *</t>
  </si>
  <si>
    <t>1 GAP B</t>
  </si>
  <si>
    <t>1 GRUMA B</t>
  </si>
  <si>
    <t>1A AAPL *</t>
  </si>
  <si>
    <t>1 CHDRAUI B</t>
  </si>
  <si>
    <t>1 BIMBO A</t>
  </si>
  <si>
    <t>1 VOLAR A</t>
  </si>
  <si>
    <t>CF FUNO 11</t>
  </si>
  <si>
    <t>1 OMA B</t>
  </si>
  <si>
    <t>1I IEFA *</t>
  </si>
  <si>
    <t>1 LAB B</t>
  </si>
  <si>
    <t>1 FEMSA UBD</t>
  </si>
  <si>
    <t>41 BBAJIO O</t>
  </si>
  <si>
    <t>Títulos</t>
  </si>
  <si>
    <t>Precio Merc</t>
  </si>
  <si>
    <t>Precio Compra</t>
  </si>
  <si>
    <t>Sector</t>
  </si>
  <si>
    <t>Region</t>
  </si>
  <si>
    <t>Mercado</t>
  </si>
  <si>
    <t>ETF Indice</t>
  </si>
  <si>
    <t>ETF Tech</t>
  </si>
  <si>
    <t>ETF S&amp;P</t>
  </si>
  <si>
    <t>ETF FX</t>
  </si>
  <si>
    <t>Retail</t>
  </si>
  <si>
    <t>Nacional</t>
  </si>
  <si>
    <t>SIC</t>
  </si>
  <si>
    <t>Mexico</t>
  </si>
  <si>
    <t>US</t>
  </si>
  <si>
    <t>EURO</t>
  </si>
  <si>
    <t>Si es compra, se suman títulos y el precio se pondera</t>
  </si>
  <si>
    <t>Si es venta no se modifica costo, solo se resta posición y monto</t>
  </si>
  <si>
    <t>Monto compra = Titulos x Precio compra</t>
  </si>
  <si>
    <t>C</t>
  </si>
  <si>
    <t xml:space="preserve">AC *           </t>
  </si>
  <si>
    <t>V</t>
  </si>
  <si>
    <t xml:space="preserve">FUNO 11        </t>
  </si>
  <si>
    <t xml:space="preserve">GFNORTE O      </t>
  </si>
  <si>
    <t>Operación</t>
  </si>
  <si>
    <t>Precio</t>
  </si>
  <si>
    <t>Fecha</t>
  </si>
  <si>
    <t xml:space="preserve">ALSEA *        </t>
  </si>
  <si>
    <t xml:space="preserve">BBAJIO O       </t>
  </si>
  <si>
    <t xml:space="preserve">GMEXICO B      </t>
  </si>
  <si>
    <t xml:space="preserve">SHV *          </t>
  </si>
  <si>
    <t>CASH realizado</t>
  </si>
  <si>
    <t>Para CASH</t>
  </si>
  <si>
    <t>Venta</t>
  </si>
  <si>
    <t>Precio Venta - Costo * Numero titulos</t>
  </si>
  <si>
    <t>Compra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</si>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</sst>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&quot;$&quot;* #,##0.0000_-;\-&quot;$&quot;* #,##0.0000_-;_-&quot;$&quot;* &quot;-&quot;??_-;_-@_-"/>
    <numFmt numFmtId="171" formatCode="#,##0.00_ ;\-#,##0.00"/>
    <numFmt numFmtId="172" formatCode="#,##0.000000_ ;\-#,##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44" fontId="0" fillId="0" borderId="0" xfId="2" applyFont="1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44" fontId="0" fillId="0" borderId="1" xfId="2" applyFont="1" applyBorder="1"/>
    <xf numFmtId="165" fontId="0" fillId="0" borderId="1" xfId="2" applyNumberFormat="1" applyFont="1" applyBorder="1"/>
    <xf numFmtId="0" fontId="2" fillId="2" borderId="1" xfId="0" applyFont="1" applyFill="1" applyBorder="1" applyAlignment="1">
      <alignment horizontal="center"/>
    </xf>
    <xf numFmtId="44" fontId="0" fillId="0" borderId="0" xfId="0" applyNumberFormat="1"/>
    <xf numFmtId="16" fontId="0" fillId="0" borderId="0" xfId="0" applyNumberFormat="1"/>
    <xf numFmtId="0" fontId="0" fillId="0" borderId="0" xfId="0"/>
    <xf numFmtId="3" fontId="3" fillId="0" borderId="0" xfId="0" applyNumberFormat="1" applyFont="1" applyAlignment="1">
      <alignment horizontal="right"/>
    </xf>
    <xf numFmtId="171" fontId="3" fillId="0" borderId="0" xfId="0" applyNumberFormat="1" applyFont="1" applyAlignment="1">
      <alignment horizontal="right"/>
    </xf>
    <xf numFmtId="0" fontId="0" fillId="0" borderId="1" xfId="0" applyBorder="1" applyAlignment="1">
      <alignment horizontal="center"/>
    </xf>
    <xf numFmtId="172" fontId="3" fillId="0" borderId="0" xfId="0" applyNumberFormat="1" applyFont="1" applyAlignment="1">
      <alignment horizontal="right"/>
    </xf>
    <xf numFmtId="43" fontId="0" fillId="0" borderId="0" xfId="0" applyNumberFormat="1"/>
    <xf numFmtId="3" fontId="0" fillId="0" borderId="0" xfId="0" applyNumberForma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F958-F25D-4A55-8BBA-E6004B8175E3}">
  <dimension ref="B2:J39"/>
  <sheetViews>
    <sheetView workbookViewId="0">
      <selection activeCell="F24" sqref="F24"/>
    </sheetView>
  </sheetViews>
  <sheetFormatPr baseColWidth="10" defaultRowHeight="15" x14ac:dyDescent="0.25"/>
  <cols>
    <col min="2" max="2" width="17.140625" bestFit="1" customWidth="1"/>
    <col min="3" max="3" width="10.5703125" bestFit="1" customWidth="1"/>
    <col min="4" max="4" width="14.5703125" bestFit="1" customWidth="1"/>
    <col min="5" max="5" width="13.5703125" bestFit="1" customWidth="1"/>
    <col min="6" max="6" width="14.28515625" bestFit="1" customWidth="1"/>
    <col min="7" max="7" width="14.85546875" bestFit="1" customWidth="1"/>
  </cols>
  <sheetData>
    <row r="2" spans="2:10" x14ac:dyDescent="0.25">
      <c r="B2" s="7" t="s">
        <v>0</v>
      </c>
      <c r="C2" s="7" t="s">
        <v>33</v>
      </c>
      <c r="D2" s="7" t="s">
        <v>35</v>
      </c>
      <c r="E2" s="7" t="s">
        <v>34</v>
      </c>
      <c r="F2" s="7" t="s">
        <v>1</v>
      </c>
      <c r="G2" s="7" t="s">
        <v>2</v>
      </c>
      <c r="H2" s="7" t="s">
        <v>36</v>
      </c>
      <c r="I2" s="7" t="s">
        <v>37</v>
      </c>
      <c r="J2" s="7" t="s">
        <v>38</v>
      </c>
    </row>
    <row r="3" spans="2:10" x14ac:dyDescent="0.25">
      <c r="B3" s="3" t="s">
        <v>3</v>
      </c>
      <c r="C3" s="4">
        <v>2214216</v>
      </c>
      <c r="D3" s="6">
        <v>65.898994999999999</v>
      </c>
      <c r="E3" s="6">
        <v>66.260000000000005</v>
      </c>
      <c r="F3" s="5">
        <v>145.91460911291998</v>
      </c>
      <c r="G3" s="5">
        <v>146.71395216000002</v>
      </c>
      <c r="H3" t="s">
        <v>39</v>
      </c>
      <c r="I3" t="s">
        <v>46</v>
      </c>
      <c r="J3" t="s">
        <v>44</v>
      </c>
    </row>
    <row r="4" spans="2:10" x14ac:dyDescent="0.25">
      <c r="B4" s="3" t="s">
        <v>4</v>
      </c>
      <c r="C4" s="4">
        <v>7580</v>
      </c>
      <c r="D4" s="6">
        <v>11064.635560999999</v>
      </c>
      <c r="E4" s="6">
        <v>12542.613382</v>
      </c>
      <c r="F4" s="5">
        <v>83.869937552379994</v>
      </c>
      <c r="G4" s="5">
        <v>95.073009435559996</v>
      </c>
      <c r="H4" t="s">
        <v>40</v>
      </c>
      <c r="I4" t="s">
        <v>47</v>
      </c>
      <c r="J4" t="s">
        <v>45</v>
      </c>
    </row>
    <row r="5" spans="2:10" x14ac:dyDescent="0.25">
      <c r="B5" s="3" t="s">
        <v>5</v>
      </c>
      <c r="C5" s="4">
        <v>6500</v>
      </c>
      <c r="D5" s="6">
        <v>12190.056215999999</v>
      </c>
      <c r="E5" s="6">
        <v>13160.080336000001</v>
      </c>
      <c r="F5" s="5">
        <v>79.235365403999992</v>
      </c>
      <c r="G5" s="5">
        <v>85.540522183999997</v>
      </c>
      <c r="H5" t="s">
        <v>41</v>
      </c>
      <c r="I5" t="s">
        <v>47</v>
      </c>
      <c r="J5" t="s">
        <v>45</v>
      </c>
    </row>
    <row r="6" spans="2:10" x14ac:dyDescent="0.25">
      <c r="B6" s="3" t="s">
        <v>6</v>
      </c>
      <c r="C6" s="4">
        <v>33805</v>
      </c>
      <c r="D6" s="6">
        <v>1927.520896</v>
      </c>
      <c r="E6" s="6">
        <v>1920.3692820000001</v>
      </c>
      <c r="F6" s="5">
        <v>65.159843889279998</v>
      </c>
      <c r="G6" s="5">
        <v>64.918083578009998</v>
      </c>
      <c r="H6" t="s">
        <v>42</v>
      </c>
      <c r="J6" t="s">
        <v>45</v>
      </c>
    </row>
    <row r="7" spans="2:10" x14ac:dyDescent="0.25">
      <c r="B7" s="3" t="s">
        <v>7</v>
      </c>
      <c r="C7" s="4">
        <v>1251037</v>
      </c>
      <c r="D7" s="6">
        <v>58.94938100000001</v>
      </c>
      <c r="E7" s="6">
        <v>49.27</v>
      </c>
      <c r="F7" s="5">
        <v>73.747856758097001</v>
      </c>
      <c r="G7" s="5">
        <v>61.638592989999999</v>
      </c>
      <c r="H7" t="s">
        <v>43</v>
      </c>
      <c r="J7" t="s">
        <v>44</v>
      </c>
    </row>
    <row r="8" spans="2:10" x14ac:dyDescent="0.25">
      <c r="B8" s="3" t="s">
        <v>9</v>
      </c>
      <c r="C8" s="4">
        <v>114630</v>
      </c>
      <c r="D8" s="6">
        <v>561.64841699999999</v>
      </c>
      <c r="E8" s="6">
        <v>481.92</v>
      </c>
      <c r="F8" s="5">
        <v>64.381758040709997</v>
      </c>
      <c r="G8" s="5">
        <v>55.242489599999999</v>
      </c>
    </row>
    <row r="9" spans="2:10" x14ac:dyDescent="0.25">
      <c r="B9" s="3" t="s">
        <v>11</v>
      </c>
      <c r="C9" s="4">
        <v>283230</v>
      </c>
      <c r="D9" s="6">
        <v>170.037271</v>
      </c>
      <c r="E9" s="6">
        <v>186.19</v>
      </c>
      <c r="F9" s="5">
        <v>48.15965626533</v>
      </c>
      <c r="G9" s="5">
        <v>52.734593700000005</v>
      </c>
    </row>
    <row r="10" spans="2:10" x14ac:dyDescent="0.25">
      <c r="B10" s="3" t="s">
        <v>13</v>
      </c>
      <c r="C10" s="4">
        <v>1420</v>
      </c>
      <c r="D10" s="6">
        <v>28295.070423000001</v>
      </c>
      <c r="E10" s="6">
        <v>32657.605864000001</v>
      </c>
      <c r="F10" s="5">
        <v>40.179000000660004</v>
      </c>
      <c r="G10" s="5">
        <v>46.373800326880001</v>
      </c>
    </row>
    <row r="11" spans="2:10" x14ac:dyDescent="0.25">
      <c r="B11" s="3" t="s">
        <v>16</v>
      </c>
      <c r="C11" s="4">
        <v>1036239</v>
      </c>
      <c r="D11" s="6">
        <v>44.706746000000003</v>
      </c>
      <c r="E11" s="6">
        <v>39.81</v>
      </c>
      <c r="F11" s="5">
        <v>46.326873768294</v>
      </c>
      <c r="G11" s="5">
        <v>41.252674590000005</v>
      </c>
    </row>
    <row r="12" spans="2:10" x14ac:dyDescent="0.25">
      <c r="B12" s="3" t="s">
        <v>14</v>
      </c>
      <c r="C12" s="4">
        <v>782182</v>
      </c>
      <c r="D12" s="6">
        <v>49.561949000000006</v>
      </c>
      <c r="E12" s="6">
        <v>42.83</v>
      </c>
      <c r="F12" s="5">
        <v>38.766464392717999</v>
      </c>
      <c r="G12" s="5">
        <v>33.500855059999999</v>
      </c>
    </row>
    <row r="13" spans="2:10" x14ac:dyDescent="0.25">
      <c r="B13" s="3" t="s">
        <v>18</v>
      </c>
      <c r="C13" s="4">
        <v>886231</v>
      </c>
      <c r="D13" s="6">
        <v>37.872971999999997</v>
      </c>
      <c r="E13" s="6">
        <v>35.4</v>
      </c>
      <c r="F13" s="5">
        <v>33.564201848532001</v>
      </c>
      <c r="G13" s="5">
        <v>31.372577399999997</v>
      </c>
    </row>
    <row r="14" spans="2:10" x14ac:dyDescent="0.25">
      <c r="B14" s="3" t="s">
        <v>19</v>
      </c>
      <c r="C14" s="4">
        <v>4550</v>
      </c>
      <c r="D14" s="6">
        <v>7396.3296709999995</v>
      </c>
      <c r="E14" s="6">
        <v>6708.4830540000003</v>
      </c>
      <c r="F14" s="5">
        <v>33.653300003049999</v>
      </c>
      <c r="G14" s="5">
        <v>30.5235978957</v>
      </c>
    </row>
    <row r="15" spans="2:10" x14ac:dyDescent="0.25">
      <c r="B15" s="3" t="s">
        <v>21</v>
      </c>
      <c r="C15" s="4">
        <v>76645</v>
      </c>
      <c r="D15" s="6">
        <v>422.59040099999993</v>
      </c>
      <c r="E15" s="6">
        <v>395.26</v>
      </c>
      <c r="F15" s="5">
        <v>32.389441284644995</v>
      </c>
      <c r="G15" s="5">
        <v>30.294702699999998</v>
      </c>
    </row>
    <row r="16" spans="2:10" x14ac:dyDescent="0.25">
      <c r="B16" s="3" t="s">
        <v>23</v>
      </c>
      <c r="C16" s="4">
        <v>5500</v>
      </c>
      <c r="D16" s="6">
        <v>4560.7272009999997</v>
      </c>
      <c r="E16" s="6">
        <v>5487.3171080000002</v>
      </c>
      <c r="F16" s="5">
        <v>25.083999605499997</v>
      </c>
      <c r="G16" s="5">
        <v>30.180244093999999</v>
      </c>
    </row>
    <row r="17" spans="2:9" x14ac:dyDescent="0.25">
      <c r="B17" s="3" t="s">
        <v>25</v>
      </c>
      <c r="C17" s="4">
        <v>532251</v>
      </c>
      <c r="D17" s="6">
        <v>65.723269999999999</v>
      </c>
      <c r="E17" s="6">
        <v>56.36</v>
      </c>
      <c r="F17" s="5">
        <v>34.981276180770003</v>
      </c>
      <c r="G17" s="5">
        <v>29.99766636</v>
      </c>
    </row>
    <row r="18" spans="2:9" x14ac:dyDescent="0.25">
      <c r="B18" s="3" t="s">
        <v>24</v>
      </c>
      <c r="C18" s="4">
        <v>325938</v>
      </c>
      <c r="D18" s="6">
        <v>115.80463999999999</v>
      </c>
      <c r="E18" s="6">
        <v>89.81</v>
      </c>
      <c r="F18" s="5">
        <v>37.745132752319996</v>
      </c>
      <c r="G18" s="5">
        <v>29.272491780000003</v>
      </c>
    </row>
    <row r="19" spans="2:9" x14ac:dyDescent="0.25">
      <c r="B19" s="3" t="s">
        <v>26</v>
      </c>
      <c r="C19" s="4">
        <v>2157460</v>
      </c>
      <c r="D19" s="6">
        <v>12.387893</v>
      </c>
      <c r="E19" s="6">
        <v>13.56</v>
      </c>
      <c r="F19" s="5">
        <v>26.726383631779999</v>
      </c>
      <c r="G19" s="5">
        <v>29.2551576</v>
      </c>
    </row>
    <row r="20" spans="2:9" x14ac:dyDescent="0.25">
      <c r="B20" s="3" t="s">
        <v>17</v>
      </c>
      <c r="C20" s="4">
        <v>17100</v>
      </c>
      <c r="D20" s="6">
        <v>1539.5239770000001</v>
      </c>
      <c r="E20" s="6">
        <v>1636.2961419999999</v>
      </c>
      <c r="F20" s="5">
        <v>26.325860006700001</v>
      </c>
      <c r="G20" s="5">
        <v>27.980664028199996</v>
      </c>
    </row>
    <row r="21" spans="2:9" x14ac:dyDescent="0.25">
      <c r="B21" s="3" t="s">
        <v>22</v>
      </c>
      <c r="C21" s="4">
        <v>98000</v>
      </c>
      <c r="D21" s="6">
        <v>296.15634999999997</v>
      </c>
      <c r="E21" s="6">
        <v>279.39999999999998</v>
      </c>
      <c r="F21" s="5">
        <v>29.023322299999997</v>
      </c>
      <c r="G21" s="5">
        <v>27.381199999999996</v>
      </c>
    </row>
    <row r="22" spans="2:9" x14ac:dyDescent="0.25">
      <c r="B22" s="3" t="s">
        <v>8</v>
      </c>
      <c r="C22" s="4">
        <v>130000</v>
      </c>
      <c r="D22" s="6">
        <v>198.941889</v>
      </c>
      <c r="E22" s="6">
        <v>199.56</v>
      </c>
      <c r="F22" s="5">
        <v>25.862445570000002</v>
      </c>
      <c r="G22" s="5">
        <v>25.942799999999998</v>
      </c>
    </row>
    <row r="23" spans="2:9" x14ac:dyDescent="0.25">
      <c r="B23" s="3" t="s">
        <v>10</v>
      </c>
      <c r="C23" s="4">
        <v>22500</v>
      </c>
      <c r="D23" s="6">
        <v>1149.7555540000001</v>
      </c>
      <c r="E23" s="6">
        <v>1144.483626</v>
      </c>
      <c r="F23" s="5">
        <v>25.869499964999999</v>
      </c>
      <c r="G23" s="5">
        <v>25.750881585000002</v>
      </c>
    </row>
    <row r="24" spans="2:9" x14ac:dyDescent="0.25">
      <c r="B24" s="3" t="s">
        <v>20</v>
      </c>
      <c r="C24" s="4">
        <v>130231</v>
      </c>
      <c r="D24" s="6">
        <v>202.80664100000001</v>
      </c>
      <c r="E24" s="6">
        <v>197.4</v>
      </c>
      <c r="F24" s="5">
        <v>26.411711664070999</v>
      </c>
      <c r="G24" s="5">
        <v>25.707599400000003</v>
      </c>
    </row>
    <row r="25" spans="2:9" x14ac:dyDescent="0.25">
      <c r="B25" s="3" t="s">
        <v>29</v>
      </c>
      <c r="C25" s="4">
        <v>14100</v>
      </c>
      <c r="D25" s="6">
        <v>1621.241135</v>
      </c>
      <c r="E25" s="6">
        <v>1688.5795419999999</v>
      </c>
      <c r="F25" s="5">
        <v>22.859500003499999</v>
      </c>
      <c r="G25" s="5">
        <v>23.808971542199998</v>
      </c>
      <c r="I25" t="s">
        <v>48</v>
      </c>
    </row>
    <row r="26" spans="2:9" x14ac:dyDescent="0.25">
      <c r="B26" s="3" t="s">
        <v>28</v>
      </c>
      <c r="C26" s="4">
        <v>99276</v>
      </c>
      <c r="D26" s="6">
        <v>241.341793</v>
      </c>
      <c r="E26" s="6">
        <v>235.01999999999998</v>
      </c>
      <c r="F26" s="5">
        <v>23.959447841867998</v>
      </c>
      <c r="G26" s="5">
        <v>23.331845519999998</v>
      </c>
    </row>
    <row r="27" spans="2:9" x14ac:dyDescent="0.25">
      <c r="B27" s="3" t="s">
        <v>31</v>
      </c>
      <c r="C27" s="4">
        <v>72861</v>
      </c>
      <c r="D27" s="6">
        <v>187.25527199999999</v>
      </c>
      <c r="E27" s="6">
        <v>232.26</v>
      </c>
      <c r="F27" s="5">
        <v>13.643606373192</v>
      </c>
      <c r="G27" s="5">
        <v>16.922695860000001</v>
      </c>
    </row>
    <row r="28" spans="2:9" x14ac:dyDescent="0.25">
      <c r="B28" s="3" t="s">
        <v>30</v>
      </c>
      <c r="C28" s="4">
        <v>1104792</v>
      </c>
      <c r="D28" s="6">
        <v>16.044191000000001</v>
      </c>
      <c r="E28" s="6">
        <v>15.079999999999998</v>
      </c>
      <c r="F28" s="5">
        <v>17.725493863272</v>
      </c>
      <c r="G28" s="5">
        <v>16.660263359999998</v>
      </c>
    </row>
    <row r="29" spans="2:9" x14ac:dyDescent="0.25">
      <c r="B29" s="3" t="s">
        <v>15</v>
      </c>
      <c r="C29" s="4">
        <v>5500</v>
      </c>
      <c r="D29" s="6">
        <v>2670.349455</v>
      </c>
      <c r="E29" s="6">
        <v>2735.1189319999999</v>
      </c>
      <c r="F29" s="5">
        <v>14.686922002499999</v>
      </c>
      <c r="G29" s="5">
        <v>15.043154125999997</v>
      </c>
    </row>
    <row r="30" spans="2:9" x14ac:dyDescent="0.25">
      <c r="B30" s="3" t="s">
        <v>27</v>
      </c>
      <c r="C30" s="4">
        <v>454268</v>
      </c>
      <c r="D30" s="6">
        <v>26.888573000000001</v>
      </c>
      <c r="E30" s="6">
        <v>30.14</v>
      </c>
      <c r="F30" s="5">
        <v>12.214618279564</v>
      </c>
      <c r="G30" s="5">
        <v>13.691637519999999</v>
      </c>
    </row>
    <row r="31" spans="2:9" x14ac:dyDescent="0.25">
      <c r="B31" s="3" t="s">
        <v>12</v>
      </c>
      <c r="C31" s="4">
        <v>806410</v>
      </c>
      <c r="D31" s="6">
        <v>26.595604000000005</v>
      </c>
      <c r="E31" s="6">
        <v>10.1</v>
      </c>
      <c r="F31" s="5">
        <v>21.446961021640004</v>
      </c>
      <c r="G31" s="5">
        <v>8.1447409999999998</v>
      </c>
    </row>
    <row r="32" spans="2:9" x14ac:dyDescent="0.25">
      <c r="B32" s="3" t="s">
        <v>32</v>
      </c>
      <c r="C32" s="4">
        <v>135646</v>
      </c>
      <c r="D32" s="6">
        <v>45.653948999999997</v>
      </c>
      <c r="E32" s="6">
        <v>56.75</v>
      </c>
      <c r="F32" s="5">
        <v>6.1927755660539994</v>
      </c>
      <c r="G32" s="5">
        <v>7.6979104999999999</v>
      </c>
    </row>
    <row r="38" spans="3:7" x14ac:dyDescent="0.25">
      <c r="C38" s="2"/>
      <c r="D38" s="1"/>
      <c r="E38" s="1"/>
      <c r="F38" s="1"/>
      <c r="G38" s="1"/>
    </row>
    <row r="39" spans="3:7" x14ac:dyDescent="0.25">
      <c r="C39" s="2"/>
      <c r="D39" s="1"/>
      <c r="E39" s="1"/>
      <c r="F39" s="1"/>
      <c r="G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4E7B-32C2-444E-9A73-8B8F66FEA7D0}">
  <dimension ref="A1:G49"/>
  <sheetViews>
    <sheetView tabSelected="1" topLeftCell="A19" workbookViewId="0">
      <selection activeCell="B43" sqref="B43:E43"/>
    </sheetView>
  </sheetViews>
  <sheetFormatPr baseColWidth="10" defaultRowHeight="15" x14ac:dyDescent="0.25"/>
  <cols>
    <col min="2" max="2" width="17.140625" bestFit="1" customWidth="1"/>
    <col min="4" max="4" width="14.28515625" bestFit="1" customWidth="1"/>
    <col min="5" max="5" width="16.28515625" bestFit="1" customWidth="1"/>
    <col min="7" max="7" width="17.85546875" bestFit="1" customWidth="1"/>
  </cols>
  <sheetData>
    <row r="1" spans="1:5" x14ac:dyDescent="0.25">
      <c r="A1" t="s">
        <v>50</v>
      </c>
    </row>
    <row r="2" spans="1:5" x14ac:dyDescent="0.25">
      <c r="A2" t="s">
        <v>49</v>
      </c>
    </row>
    <row r="3" spans="1:5" x14ac:dyDescent="0.25">
      <c r="A3" t="s">
        <v>51</v>
      </c>
    </row>
    <row r="4" spans="1:5" s="10" customFormat="1" x14ac:dyDescent="0.25"/>
    <row r="5" spans="1:5" s="10" customFormat="1" x14ac:dyDescent="0.25">
      <c r="A5" s="10" t="s">
        <v>65</v>
      </c>
    </row>
    <row r="6" spans="1:5" s="10" customFormat="1" x14ac:dyDescent="0.25">
      <c r="A6" s="10" t="s">
        <v>66</v>
      </c>
      <c r="B6" s="10" t="s">
        <v>67</v>
      </c>
    </row>
    <row r="7" spans="1:5" s="10" customFormat="1" x14ac:dyDescent="0.25">
      <c r="A7" s="10" t="s">
        <v>68</v>
      </c>
    </row>
    <row r="8" spans="1:5" s="10" customFormat="1" x14ac:dyDescent="0.25"/>
    <row r="10" spans="1:5" x14ac:dyDescent="0.25">
      <c r="B10" s="7" t="s">
        <v>0</v>
      </c>
      <c r="C10" s="7" t="s">
        <v>33</v>
      </c>
      <c r="D10" s="7" t="s">
        <v>35</v>
      </c>
      <c r="E10" s="7" t="s">
        <v>1</v>
      </c>
    </row>
    <row r="11" spans="1:5" x14ac:dyDescent="0.25">
      <c r="B11" s="3" t="s">
        <v>3</v>
      </c>
      <c r="C11" s="4">
        <v>2214216</v>
      </c>
      <c r="D11" s="6">
        <v>65.898994999999999</v>
      </c>
      <c r="E11" s="8">
        <f>+C11*D11</f>
        <v>145914609.11291999</v>
      </c>
    </row>
    <row r="12" spans="1:5" x14ac:dyDescent="0.25">
      <c r="B12" s="3" t="s">
        <v>4</v>
      </c>
      <c r="C12" s="4">
        <v>7580</v>
      </c>
      <c r="D12" s="6">
        <v>11064.635560999999</v>
      </c>
      <c r="E12" s="8">
        <f t="shared" ref="E12:E40" si="0">+C12*D12</f>
        <v>83869937.552379996</v>
      </c>
    </row>
    <row r="13" spans="1:5" x14ac:dyDescent="0.25">
      <c r="B13" s="3" t="s">
        <v>5</v>
      </c>
      <c r="C13" s="4">
        <v>6500</v>
      </c>
      <c r="D13" s="6">
        <v>12190.056215999999</v>
      </c>
      <c r="E13" s="8">
        <f t="shared" si="0"/>
        <v>79235365.403999999</v>
      </c>
    </row>
    <row r="14" spans="1:5" x14ac:dyDescent="0.25">
      <c r="B14" s="3" t="s">
        <v>6</v>
      </c>
      <c r="C14" s="4">
        <v>33805</v>
      </c>
      <c r="D14" s="6">
        <v>1927.520896</v>
      </c>
      <c r="E14" s="8">
        <f t="shared" si="0"/>
        <v>65159843.889279999</v>
      </c>
    </row>
    <row r="15" spans="1:5" x14ac:dyDescent="0.25">
      <c r="B15" s="3" t="s">
        <v>7</v>
      </c>
      <c r="C15" s="4">
        <v>1251037</v>
      </c>
      <c r="D15" s="6">
        <v>58.94938100000001</v>
      </c>
      <c r="E15" s="8">
        <f t="shared" si="0"/>
        <v>73747856.758097008</v>
      </c>
    </row>
    <row r="16" spans="1:5" x14ac:dyDescent="0.25">
      <c r="B16" s="3" t="s">
        <v>9</v>
      </c>
      <c r="C16" s="4">
        <v>114630</v>
      </c>
      <c r="D16" s="6">
        <v>561.64841699999999</v>
      </c>
      <c r="E16" s="8">
        <f t="shared" si="0"/>
        <v>64381758.040710002</v>
      </c>
    </row>
    <row r="17" spans="2:5" x14ac:dyDescent="0.25">
      <c r="B17" s="3" t="s">
        <v>11</v>
      </c>
      <c r="C17" s="4">
        <v>283230</v>
      </c>
      <c r="D17" s="6">
        <v>170.037271</v>
      </c>
      <c r="E17" s="8">
        <f t="shared" si="0"/>
        <v>48159656.265330002</v>
      </c>
    </row>
    <row r="18" spans="2:5" x14ac:dyDescent="0.25">
      <c r="B18" s="3" t="s">
        <v>13</v>
      </c>
      <c r="C18" s="4">
        <v>1420</v>
      </c>
      <c r="D18" s="6">
        <v>28295.070423000001</v>
      </c>
      <c r="E18" s="8">
        <f t="shared" si="0"/>
        <v>40179000.000660002</v>
      </c>
    </row>
    <row r="19" spans="2:5" x14ac:dyDescent="0.25">
      <c r="B19" s="3" t="s">
        <v>16</v>
      </c>
      <c r="C19" s="4">
        <v>1036239</v>
      </c>
      <c r="D19" s="6">
        <v>44.706746000000003</v>
      </c>
      <c r="E19" s="8">
        <f t="shared" si="0"/>
        <v>46326873.768293999</v>
      </c>
    </row>
    <row r="20" spans="2:5" x14ac:dyDescent="0.25">
      <c r="B20" s="3" t="s">
        <v>14</v>
      </c>
      <c r="C20" s="4">
        <v>782182</v>
      </c>
      <c r="D20" s="6">
        <v>49.561949000000006</v>
      </c>
      <c r="E20" s="8">
        <f t="shared" si="0"/>
        <v>38766464.392718002</v>
      </c>
    </row>
    <row r="21" spans="2:5" x14ac:dyDescent="0.25">
      <c r="B21" s="3" t="s">
        <v>18</v>
      </c>
      <c r="C21" s="4">
        <v>886231</v>
      </c>
      <c r="D21" s="6">
        <v>37.872971999999997</v>
      </c>
      <c r="E21" s="8">
        <f t="shared" si="0"/>
        <v>33564201.848531999</v>
      </c>
    </row>
    <row r="22" spans="2:5" x14ac:dyDescent="0.25">
      <c r="B22" s="3" t="s">
        <v>19</v>
      </c>
      <c r="C22" s="4">
        <v>4550</v>
      </c>
      <c r="D22" s="6">
        <v>7396.3296709999995</v>
      </c>
      <c r="E22" s="8">
        <f t="shared" si="0"/>
        <v>33653300.003049999</v>
      </c>
    </row>
    <row r="23" spans="2:5" x14ac:dyDescent="0.25">
      <c r="B23" s="3" t="s">
        <v>21</v>
      </c>
      <c r="C23" s="4">
        <v>76645</v>
      </c>
      <c r="D23" s="6">
        <v>422.59040099999993</v>
      </c>
      <c r="E23" s="8">
        <f t="shared" si="0"/>
        <v>32389441.284644995</v>
      </c>
    </row>
    <row r="24" spans="2:5" x14ac:dyDescent="0.25">
      <c r="B24" s="3" t="s">
        <v>23</v>
      </c>
      <c r="C24" s="4">
        <v>5500</v>
      </c>
      <c r="D24" s="6">
        <v>4560.7272009999997</v>
      </c>
      <c r="E24" s="8">
        <f t="shared" si="0"/>
        <v>25083999.605499998</v>
      </c>
    </row>
    <row r="25" spans="2:5" x14ac:dyDescent="0.25">
      <c r="B25" s="3" t="s">
        <v>25</v>
      </c>
      <c r="C25" s="4">
        <v>532251</v>
      </c>
      <c r="D25" s="6">
        <v>65.723269999999999</v>
      </c>
      <c r="E25" s="8">
        <f t="shared" si="0"/>
        <v>34981276.180770002</v>
      </c>
    </row>
    <row r="26" spans="2:5" x14ac:dyDescent="0.25">
      <c r="B26" s="3" t="s">
        <v>24</v>
      </c>
      <c r="C26" s="4">
        <v>325938</v>
      </c>
      <c r="D26" s="6">
        <v>115.80463999999999</v>
      </c>
      <c r="E26" s="8">
        <f t="shared" si="0"/>
        <v>37745132.752319999</v>
      </c>
    </row>
    <row r="27" spans="2:5" x14ac:dyDescent="0.25">
      <c r="B27" s="3" t="s">
        <v>26</v>
      </c>
      <c r="C27" s="4">
        <v>2157460</v>
      </c>
      <c r="D27" s="6">
        <v>12.387893</v>
      </c>
      <c r="E27" s="8">
        <f t="shared" si="0"/>
        <v>26726383.631779999</v>
      </c>
    </row>
    <row r="28" spans="2:5" x14ac:dyDescent="0.25">
      <c r="B28" s="3" t="s">
        <v>17</v>
      </c>
      <c r="C28" s="4">
        <v>17100</v>
      </c>
      <c r="D28" s="6">
        <v>1539.5239770000001</v>
      </c>
      <c r="E28" s="8">
        <f t="shared" si="0"/>
        <v>26325860.006700002</v>
      </c>
    </row>
    <row r="29" spans="2:5" x14ac:dyDescent="0.25">
      <c r="B29" s="3" t="s">
        <v>22</v>
      </c>
      <c r="C29" s="4">
        <v>98000</v>
      </c>
      <c r="D29" s="6">
        <v>296.15634999999997</v>
      </c>
      <c r="E29" s="8">
        <f t="shared" si="0"/>
        <v>29023322.299999997</v>
      </c>
    </row>
    <row r="30" spans="2:5" x14ac:dyDescent="0.25">
      <c r="B30" s="3" t="s">
        <v>8</v>
      </c>
      <c r="C30" s="4">
        <v>130000</v>
      </c>
      <c r="D30" s="6">
        <v>198.941889</v>
      </c>
      <c r="E30" s="8">
        <f t="shared" si="0"/>
        <v>25862445.57</v>
      </c>
    </row>
    <row r="31" spans="2:5" x14ac:dyDescent="0.25">
      <c r="B31" s="3" t="s">
        <v>10</v>
      </c>
      <c r="C31" s="4">
        <v>22500</v>
      </c>
      <c r="D31" s="6">
        <v>1149.7555540000001</v>
      </c>
      <c r="E31" s="8">
        <f t="shared" si="0"/>
        <v>25869499.965</v>
      </c>
    </row>
    <row r="32" spans="2:5" x14ac:dyDescent="0.25">
      <c r="B32" s="3" t="s">
        <v>20</v>
      </c>
      <c r="C32" s="4">
        <v>130231</v>
      </c>
      <c r="D32" s="6">
        <v>202.80664100000001</v>
      </c>
      <c r="E32" s="8">
        <f t="shared" si="0"/>
        <v>26411711.664071001</v>
      </c>
    </row>
    <row r="33" spans="1:7" x14ac:dyDescent="0.25">
      <c r="B33" s="3" t="s">
        <v>29</v>
      </c>
      <c r="C33" s="4">
        <v>14100</v>
      </c>
      <c r="D33" s="6">
        <v>1621.241135</v>
      </c>
      <c r="E33" s="8">
        <f t="shared" si="0"/>
        <v>22859500.0035</v>
      </c>
    </row>
    <row r="34" spans="1:7" x14ac:dyDescent="0.25">
      <c r="B34" s="3" t="s">
        <v>28</v>
      </c>
      <c r="C34" s="4">
        <v>99276</v>
      </c>
      <c r="D34" s="6">
        <v>241.341793</v>
      </c>
      <c r="E34" s="8">
        <f t="shared" si="0"/>
        <v>23959447.841867998</v>
      </c>
    </row>
    <row r="35" spans="1:7" x14ac:dyDescent="0.25">
      <c r="B35" s="3" t="s">
        <v>31</v>
      </c>
      <c r="C35" s="4">
        <v>72861</v>
      </c>
      <c r="D35" s="6">
        <v>187.25527199999999</v>
      </c>
      <c r="E35" s="8">
        <f t="shared" si="0"/>
        <v>13643606.373191999</v>
      </c>
    </row>
    <row r="36" spans="1:7" x14ac:dyDescent="0.25">
      <c r="B36" s="3" t="s">
        <v>30</v>
      </c>
      <c r="C36" s="4">
        <v>1104792</v>
      </c>
      <c r="D36" s="6">
        <v>16.044191000000001</v>
      </c>
      <c r="E36" s="8">
        <f t="shared" si="0"/>
        <v>17725493.863272</v>
      </c>
    </row>
    <row r="37" spans="1:7" x14ac:dyDescent="0.25">
      <c r="B37" s="3" t="s">
        <v>15</v>
      </c>
      <c r="C37" s="4">
        <v>5500</v>
      </c>
      <c r="D37" s="6">
        <v>2670.349455</v>
      </c>
      <c r="E37" s="8">
        <f t="shared" si="0"/>
        <v>14686922.002499999</v>
      </c>
    </row>
    <row r="38" spans="1:7" x14ac:dyDescent="0.25">
      <c r="B38" s="3" t="s">
        <v>27</v>
      </c>
      <c r="C38" s="4">
        <v>454268</v>
      </c>
      <c r="D38" s="6">
        <v>26.888573000000001</v>
      </c>
      <c r="E38" s="8">
        <f t="shared" si="0"/>
        <v>12214618.279564001</v>
      </c>
    </row>
    <row r="39" spans="1:7" x14ac:dyDescent="0.25">
      <c r="B39" s="3" t="s">
        <v>12</v>
      </c>
      <c r="C39" s="4">
        <v>806410</v>
      </c>
      <c r="D39" s="6">
        <v>26.595604000000005</v>
      </c>
      <c r="E39" s="8">
        <f t="shared" si="0"/>
        <v>21446961.021640003</v>
      </c>
    </row>
    <row r="40" spans="1:7" x14ac:dyDescent="0.25">
      <c r="B40" s="3" t="s">
        <v>32</v>
      </c>
      <c r="C40" s="4">
        <v>135646</v>
      </c>
      <c r="D40" s="6">
        <v>45.653948999999997</v>
      </c>
      <c r="E40" s="8">
        <f t="shared" si="0"/>
        <v>6192775.5660539996</v>
      </c>
    </row>
    <row r="43" spans="1:7" x14ac:dyDescent="0.25">
      <c r="B43" t="s">
        <v>64</v>
      </c>
      <c r="C43" s="15"/>
      <c r="F43" s="12">
        <v>31.03</v>
      </c>
      <c r="G43" s="15">
        <f>+(F43-D38)*50000</f>
        <v>207071.35</v>
      </c>
    </row>
    <row r="45" spans="1:7" x14ac:dyDescent="0.25">
      <c r="A45" s="9">
        <v>46220</v>
      </c>
      <c r="B45" s="3" t="s">
        <v>20</v>
      </c>
      <c r="C45" s="4">
        <v>130231</v>
      </c>
      <c r="D45" s="6">
        <v>202.80664100000001</v>
      </c>
      <c r="E45" s="5">
        <f>+C45*D45</f>
        <v>26411711.664071001</v>
      </c>
    </row>
    <row r="47" spans="1:7" x14ac:dyDescent="0.25">
      <c r="B47" s="13" t="s">
        <v>52</v>
      </c>
      <c r="C47" s="11">
        <v>20000</v>
      </c>
      <c r="D47" s="12">
        <v>196.6</v>
      </c>
      <c r="E47" s="12">
        <f>+C47*D47</f>
        <v>3932000</v>
      </c>
    </row>
    <row r="49" spans="2:5" x14ac:dyDescent="0.25">
      <c r="B49" t="s">
        <v>69</v>
      </c>
      <c r="C49" s="16">
        <f>+C45+C47</f>
        <v>150231</v>
      </c>
      <c r="D49">
        <f>+E49/C49</f>
        <v>201.98036133734715</v>
      </c>
      <c r="E49" s="16">
        <f>+E45+E47</f>
        <v>30343711.664071001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F926-1A8B-4DEF-B455-697DCF166269}">
  <dimension ref="A1:F15"/>
  <sheetViews>
    <sheetView topLeftCell="A5" workbookViewId="0">
      <selection activeCell="D7" sqref="D7"/>
    </sheetView>
  </sheetViews>
  <sheetFormatPr baseColWidth="10" defaultRowHeight="15" x14ac:dyDescent="0.25"/>
  <cols>
    <col min="4" max="4" width="14.28515625" bestFit="1" customWidth="1"/>
    <col min="5" max="5" width="12.5703125" customWidth="1"/>
  </cols>
  <sheetData>
    <row r="1" spans="1:6" x14ac:dyDescent="0.25">
      <c r="A1" t="s">
        <v>50</v>
      </c>
    </row>
    <row r="2" spans="1:6" x14ac:dyDescent="0.25">
      <c r="A2" t="s">
        <v>49</v>
      </c>
    </row>
    <row r="3" spans="1:6" x14ac:dyDescent="0.25">
      <c r="A3" t="s">
        <v>51</v>
      </c>
    </row>
    <row r="6" spans="1:6" x14ac:dyDescent="0.25">
      <c r="B6" s="7" t="s">
        <v>59</v>
      </c>
      <c r="C6" s="7" t="s">
        <v>57</v>
      </c>
      <c r="D6" s="7" t="s">
        <v>0</v>
      </c>
      <c r="E6" s="7" t="s">
        <v>33</v>
      </c>
      <c r="F6" s="7" t="s">
        <v>58</v>
      </c>
    </row>
    <row r="7" spans="1:6" x14ac:dyDescent="0.25">
      <c r="B7" s="9">
        <v>46219</v>
      </c>
      <c r="C7" s="13" t="s">
        <v>52</v>
      </c>
      <c r="D7" s="3" t="s">
        <v>53</v>
      </c>
      <c r="E7" s="11">
        <v>20000</v>
      </c>
      <c r="F7" s="12">
        <v>196.6</v>
      </c>
    </row>
    <row r="8" spans="1:6" x14ac:dyDescent="0.25">
      <c r="B8" s="9">
        <v>46219</v>
      </c>
      <c r="C8" s="13" t="s">
        <v>54</v>
      </c>
      <c r="D8" s="3" t="s">
        <v>55</v>
      </c>
      <c r="E8" s="11">
        <v>80000</v>
      </c>
      <c r="F8" s="12">
        <v>31.03</v>
      </c>
    </row>
    <row r="9" spans="1:6" x14ac:dyDescent="0.25">
      <c r="B9" s="9">
        <v>46219</v>
      </c>
      <c r="C9" s="13" t="s">
        <v>52</v>
      </c>
      <c r="D9" s="3" t="s">
        <v>56</v>
      </c>
      <c r="E9" s="11">
        <v>10000</v>
      </c>
      <c r="F9" s="12">
        <v>180.5</v>
      </c>
    </row>
    <row r="10" spans="1:6" x14ac:dyDescent="0.25">
      <c r="B10" s="9">
        <v>46220</v>
      </c>
      <c r="C10" s="13" t="s">
        <v>52</v>
      </c>
      <c r="D10" s="3" t="s">
        <v>60</v>
      </c>
      <c r="E10" s="11">
        <v>50000</v>
      </c>
      <c r="F10" s="14">
        <v>41.44858</v>
      </c>
    </row>
    <row r="11" spans="1:6" x14ac:dyDescent="0.25">
      <c r="B11" s="9">
        <v>46220</v>
      </c>
      <c r="C11" s="13" t="s">
        <v>54</v>
      </c>
      <c r="D11" s="3" t="s">
        <v>55</v>
      </c>
      <c r="E11" s="11">
        <v>40000</v>
      </c>
      <c r="F11" s="14">
        <v>31.28</v>
      </c>
    </row>
    <row r="12" spans="1:6" x14ac:dyDescent="0.25">
      <c r="B12" s="9">
        <v>46220</v>
      </c>
      <c r="C12" s="13" t="s">
        <v>52</v>
      </c>
      <c r="D12" s="3" t="s">
        <v>56</v>
      </c>
      <c r="E12" s="11">
        <v>10000</v>
      </c>
      <c r="F12" s="14">
        <v>179.77174199999999</v>
      </c>
    </row>
    <row r="13" spans="1:6" x14ac:dyDescent="0.25">
      <c r="B13" s="9">
        <v>46223</v>
      </c>
      <c r="C13" s="13" t="s">
        <v>54</v>
      </c>
      <c r="D13" s="3" t="s">
        <v>61</v>
      </c>
      <c r="E13" s="11">
        <v>50000</v>
      </c>
      <c r="F13" s="14">
        <v>58.101185999999998</v>
      </c>
    </row>
    <row r="14" spans="1:6" x14ac:dyDescent="0.25">
      <c r="B14" s="9">
        <v>46223</v>
      </c>
      <c r="C14" s="13" t="s">
        <v>54</v>
      </c>
      <c r="D14" s="3" t="s">
        <v>62</v>
      </c>
      <c r="E14" s="11">
        <v>20000</v>
      </c>
      <c r="F14" s="14">
        <v>203.102563</v>
      </c>
    </row>
    <row r="15" spans="1:6" x14ac:dyDescent="0.25">
      <c r="B15" s="9">
        <v>46223</v>
      </c>
      <c r="C15" s="13" t="s">
        <v>52</v>
      </c>
      <c r="D15" s="3" t="s">
        <v>63</v>
      </c>
      <c r="E15" s="11">
        <v>10000</v>
      </c>
      <c r="F15" s="14">
        <v>1921.15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Posicion</vt:lpstr>
      <vt:lpstr>Coste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Sameer Copete Rojas</dc:creator>
  <cp:lastModifiedBy>Miguel Angel Tebar Pedroza</cp:lastModifiedBy>
  <dcterms:created xsi:type="dcterms:W3CDTF">2026-07-15T22:28:44Z</dcterms:created>
  <dcterms:modified xsi:type="dcterms:W3CDTF">2026-07-21T18:18:25Z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2026-07-15T22:41:43Z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a5ef5afa-26f0-4738-bc1f-7f0b5f4f96fb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